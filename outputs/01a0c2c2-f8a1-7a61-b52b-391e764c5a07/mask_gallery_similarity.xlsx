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0417"/>
  <workbookPr/>
  <mc:AlternateContent xmlns:mc="http://schemas.openxmlformats.org/markup-compatibility/2006">
    <mc:Choice Requires="x15">
      <x15ac:absPath xmlns:x15ac="http://schemas.microsoft.com/office/spreadsheetml/2010/11/ac" url="\\wsl.localhost\Ubuntu-24.04\home\bazinga\face_serve\outputs\01a0c2c2-f8a1-7a61-b52b-391e764c5a07\"/>
    </mc:Choice>
  </mc:AlternateContent>
  <xr:revisionPtr revIDLastSave="0" documentId="13_ncr:1_{79D1115E-0848-4856-81FD-5A0857D4679D}" xr6:coauthVersionLast="36" xr6:coauthVersionMax="36" xr10:uidLastSave="{00000000-0000-0000-0000-000000000000}"/>
  <bookViews>
    <workbookView xWindow="0" yWindow="0" windowWidth="21570" windowHeight="7800" xr2:uid="{00000000-000D-0000-FFFF-FFFF00000000}"/>
  </bookViews>
  <sheets>
    <sheet name="Similarity Matrix" sheetId="1" r:id="rId1"/>
  </sheets>
  <calcPr calcId="191029"/>
</workbook>
</file>

<file path=xl/calcChain.xml><?xml version="1.0" encoding="utf-8"?>
<calcChain xmlns="http://schemas.openxmlformats.org/spreadsheetml/2006/main">
  <c r="G45" i="1" l="1"/>
  <c r="F45" i="1" s="1"/>
  <c r="G44" i="1"/>
  <c r="F44" i="1"/>
  <c r="G43" i="1"/>
  <c r="F43" i="1"/>
  <c r="G42" i="1"/>
  <c r="F42" i="1"/>
  <c r="G41" i="1"/>
  <c r="F41" i="1"/>
  <c r="G40" i="1"/>
  <c r="F40" i="1"/>
  <c r="G39" i="1"/>
  <c r="F39" i="1"/>
  <c r="G38" i="1"/>
  <c r="F38" i="1"/>
  <c r="G37" i="1"/>
  <c r="F37" i="1"/>
  <c r="G36" i="1"/>
  <c r="F36" i="1"/>
  <c r="G35" i="1"/>
  <c r="F35" i="1" s="1"/>
  <c r="G34" i="1"/>
  <c r="F34" i="1"/>
  <c r="G33" i="1"/>
  <c r="F33" i="1"/>
  <c r="G32" i="1"/>
  <c r="F32" i="1"/>
  <c r="G31" i="1"/>
  <c r="F31" i="1"/>
  <c r="G30" i="1"/>
  <c r="F30" i="1"/>
  <c r="G29" i="1"/>
  <c r="F29" i="1"/>
  <c r="G28" i="1"/>
  <c r="F28" i="1"/>
  <c r="G27" i="1"/>
  <c r="F27" i="1"/>
  <c r="G26" i="1"/>
  <c r="F26" i="1"/>
  <c r="G25" i="1"/>
  <c r="F25" i="1" s="1"/>
  <c r="G24" i="1"/>
  <c r="F24" i="1"/>
  <c r="G23" i="1"/>
  <c r="F23" i="1"/>
  <c r="G22" i="1"/>
  <c r="F22" i="1"/>
  <c r="G21" i="1"/>
  <c r="F21" i="1"/>
  <c r="G20" i="1"/>
  <c r="F20" i="1"/>
  <c r="G19" i="1"/>
  <c r="F19" i="1"/>
  <c r="G18" i="1"/>
  <c r="F18" i="1"/>
  <c r="G17" i="1"/>
  <c r="F17" i="1"/>
  <c r="G16" i="1"/>
  <c r="F16" i="1"/>
  <c r="G15" i="1"/>
  <c r="F15" i="1" s="1"/>
  <c r="G14" i="1"/>
  <c r="F14" i="1"/>
  <c r="G13" i="1"/>
  <c r="F13" i="1"/>
  <c r="G12" i="1"/>
  <c r="F12" i="1"/>
  <c r="G11" i="1"/>
  <c r="F11" i="1"/>
  <c r="G10" i="1"/>
  <c r="F10" i="1"/>
  <c r="G9" i="1"/>
  <c r="F9" i="1"/>
  <c r="G8" i="1"/>
  <c r="F8" i="1"/>
  <c r="G7" i="1"/>
  <c r="F7" i="1"/>
  <c r="G6" i="1"/>
  <c r="F6" i="1"/>
  <c r="G5" i="1"/>
  <c r="F5" i="1" s="1"/>
</calcChain>
</file>

<file path=xl/sharedStrings.xml><?xml version="1.0" encoding="utf-8"?>
<sst xmlns="http://schemas.openxmlformats.org/spreadsheetml/2006/main" count="50" uniqueCount="50">
  <si>
    <t>Mask and gallery cosine similarity</t>
  </si>
  <si>
    <t>41 mask images compared with 4 gallery images</t>
  </si>
  <si>
    <t>Mask image</t>
  </si>
  <si>
    <t>cyy1.jpg</t>
  </si>
  <si>
    <t>cyy2.jpg</t>
  </si>
  <si>
    <t>cyy3.jpg</t>
  </si>
  <si>
    <t>cyy4.jpg</t>
  </si>
  <si>
    <t>Best match</t>
  </si>
  <si>
    <t>Max similarity</t>
  </si>
  <si>
    <t>1.png</t>
  </si>
  <si>
    <t>2.png</t>
  </si>
  <si>
    <t>3.png</t>
  </si>
  <si>
    <t>4.png</t>
  </si>
  <si>
    <t>5.png</t>
  </si>
  <si>
    <t>6.png</t>
  </si>
  <si>
    <t>7.png</t>
  </si>
  <si>
    <t>8.png</t>
  </si>
  <si>
    <t>9.png</t>
  </si>
  <si>
    <t>10.png</t>
  </si>
  <si>
    <t>11.png</t>
  </si>
  <si>
    <t>12.png</t>
  </si>
  <si>
    <t>13.png</t>
  </si>
  <si>
    <t>14.png</t>
  </si>
  <si>
    <t>15.png</t>
  </si>
  <si>
    <t>16.png</t>
  </si>
  <si>
    <t>17.png</t>
  </si>
  <si>
    <t>18.png</t>
  </si>
  <si>
    <t>19.png</t>
  </si>
  <si>
    <t>20.png</t>
  </si>
  <si>
    <t>21.png</t>
  </si>
  <si>
    <t>22.png</t>
  </si>
  <si>
    <t>23.png</t>
  </si>
  <si>
    <t>24.png</t>
  </si>
  <si>
    <t>25.png</t>
  </si>
  <si>
    <t>26.png</t>
  </si>
  <si>
    <t>27.png</t>
  </si>
  <si>
    <t>28.png</t>
  </si>
  <si>
    <t>29.png</t>
  </si>
  <si>
    <t>30.png</t>
  </si>
  <si>
    <t>31.png</t>
  </si>
  <si>
    <t>32.png</t>
  </si>
  <si>
    <t>33.png</t>
  </si>
  <si>
    <t>34.png</t>
  </si>
  <si>
    <t>35.png</t>
  </si>
  <si>
    <t>36.png</t>
  </si>
  <si>
    <t>37.png</t>
  </si>
  <si>
    <t>38.png</t>
  </si>
  <si>
    <t>39.png</t>
  </si>
  <si>
    <t>40.png</t>
  </si>
  <si>
    <t>41.png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</si>
</sst>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76" formatCode="0.0000"/>
  </numFmts>
  <fonts count="8">
    <font>
      <sz val="11"/>
      <name val="Carlito"/>
    </font>
    <font>
      <sz val="10"/>
      <color rgb="FF1F2937"/>
      <name val="Arial"/>
      <family val="2"/>
    </font>
    <font>
      <b/>
      <sz val="15"/>
      <color rgb="FF1F2937"/>
      <name val="Arial"/>
      <family val="2"/>
    </font>
    <font>
      <i/>
      <sz val="10"/>
      <color rgb="FF6B7280"/>
      <name val="Arial"/>
      <family val="2"/>
    </font>
    <font>
      <b/>
      <sz val="10"/>
      <color rgb="FFFFFFFF"/>
      <name val="Arial"/>
      <family val="2"/>
    </font>
    <font>
      <sz val="11"/>
      <name val="Carlito"/>
    </font>
    <font>
      <sz val="9"/>
      <name val="宋体"/>
      <family val="3"/>
      <charset val="134"/>
    </font>
    <font>
      <sz val="10"/>
      <color theme="2"/>
      <name val="Arial"/>
      <family val="2"/>
    </font>
  </fonts>
  <fills count="6">
    <fill>
      <patternFill patternType="none"/>
    </fill>
    <fill>
      <patternFill patternType="gray125"/>
    </fill>
    <fill>
      <patternFill patternType="solid">
        <fgColor rgb="FF1F4E78"/>
      </patternFill>
    </fill>
    <fill>
      <patternFill patternType="solid">
        <fgColor rgb="FFF8FAFC"/>
      </patternFill>
    </fill>
    <fill>
      <patternFill patternType="solid">
        <fgColor rgb="FFEFF6FF"/>
      </patternFill>
    </fill>
    <fill>
      <patternFill patternType="solid">
        <fgColor theme="2"/>
        <bgColor indexed="64"/>
      </patternFill>
    </fill>
  </fills>
  <borders count="8">
    <border>
      <left/>
      <right/>
      <top/>
      <bottom/>
      <diagonal/>
    </border>
    <border>
      <left/>
      <right/>
      <top/>
      <bottom style="thin">
        <color rgb="FF1F4E78"/>
      </bottom>
      <diagonal/>
    </border>
    <border>
      <left/>
      <right style="thin">
        <color rgb="FFFFFFFF"/>
      </right>
      <top/>
      <bottom/>
      <diagonal/>
    </border>
    <border>
      <left style="thin">
        <color rgb="FFFFFFFF"/>
      </left>
      <right style="thin">
        <color rgb="FFFFFFFF"/>
      </right>
      <top/>
      <bottom/>
      <diagonal/>
    </border>
    <border>
      <left style="thin">
        <color rgb="FFFFFFFF"/>
      </left>
      <right/>
      <top/>
      <bottom/>
      <diagonal/>
    </border>
    <border>
      <left/>
      <right/>
      <top/>
      <bottom style="thin">
        <color rgb="FFE5E7EB"/>
      </bottom>
      <diagonal/>
    </border>
    <border>
      <left/>
      <right/>
      <top style="thin">
        <color rgb="FFE5E7EB"/>
      </top>
      <bottom style="thin">
        <color rgb="FFE5E7EB"/>
      </bottom>
      <diagonal/>
    </border>
    <border>
      <left/>
      <right/>
      <top style="thin">
        <color rgb="FFE5E7EB"/>
      </top>
      <bottom style="thin">
        <color rgb="FFCBD5E1"/>
      </bottom>
      <diagonal/>
    </border>
  </borders>
  <cellStyleXfs count="2">
    <xf numFmtId="0" fontId="0" fillId="0" borderId="0"/>
    <xf numFmtId="0" fontId="5" fillId="0" borderId="0"/>
  </cellStyleXfs>
  <cellXfs count="19">
    <xf numFmtId="0" fontId="0" fillId="0" borderId="0" xfId="0"/>
    <xf numFmtId="0" fontId="1" fillId="0" borderId="0" xfId="1" applyNumberFormat="1" applyFont="1" applyFill="1" applyBorder="1" applyAlignment="1">
      <alignment vertical="center"/>
    </xf>
    <xf numFmtId="0" fontId="1" fillId="0" borderId="1" xfId="1" applyNumberFormat="1" applyFont="1" applyFill="1" applyBorder="1" applyAlignment="1">
      <alignment vertical="center"/>
    </xf>
    <xf numFmtId="0" fontId="2" fillId="0" borderId="1" xfId="1" applyNumberFormat="1" applyFont="1" applyFill="1" applyBorder="1" applyAlignment="1">
      <alignment vertical="center"/>
    </xf>
    <xf numFmtId="0" fontId="3" fillId="0" borderId="0" xfId="1" applyNumberFormat="1" applyFont="1" applyFill="1" applyBorder="1" applyAlignment="1">
      <alignment vertical="center"/>
    </xf>
    <xf numFmtId="0" fontId="4" fillId="2" borderId="2" xfId="1" applyNumberFormat="1" applyFont="1" applyFill="1" applyBorder="1" applyAlignment="1">
      <alignment horizontal="center" vertical="center" wrapText="1"/>
    </xf>
    <xf numFmtId="0" fontId="4" fillId="2" borderId="3" xfId="1" applyNumberFormat="1" applyFont="1" applyFill="1" applyBorder="1" applyAlignment="1">
      <alignment horizontal="center" vertical="center" wrapText="1"/>
    </xf>
    <xf numFmtId="0" fontId="4" fillId="2" borderId="4" xfId="1" applyNumberFormat="1" applyFont="1" applyFill="1" applyBorder="1" applyAlignment="1">
      <alignment horizontal="center" vertical="center" wrapText="1"/>
    </xf>
    <xf numFmtId="176" fontId="1" fillId="0" borderId="5" xfId="1" applyNumberFormat="1" applyFont="1" applyFill="1" applyBorder="1" applyAlignment="1">
      <alignment vertical="center"/>
    </xf>
    <xf numFmtId="176" fontId="1" fillId="0" borderId="6" xfId="1" applyNumberFormat="1" applyFont="1" applyFill="1" applyBorder="1" applyAlignment="1">
      <alignment vertical="center"/>
    </xf>
    <xf numFmtId="176" fontId="1" fillId="0" borderId="7" xfId="1" applyNumberFormat="1" applyFont="1" applyFill="1" applyBorder="1" applyAlignment="1">
      <alignment vertical="center"/>
    </xf>
    <xf numFmtId="0" fontId="1" fillId="3" borderId="5" xfId="1" applyNumberFormat="1" applyFont="1" applyFill="1" applyBorder="1" applyAlignment="1">
      <alignment vertical="center"/>
    </xf>
    <xf numFmtId="0" fontId="1" fillId="3" borderId="6" xfId="1" applyNumberFormat="1" applyFont="1" applyFill="1" applyBorder="1" applyAlignment="1">
      <alignment vertical="center"/>
    </xf>
    <xf numFmtId="0" fontId="1" fillId="3" borderId="7" xfId="1" applyNumberFormat="1" applyFont="1" applyFill="1" applyBorder="1" applyAlignment="1">
      <alignment vertical="center"/>
    </xf>
    <xf numFmtId="0" fontId="1" fillId="4" borderId="5" xfId="1" applyNumberFormat="1" applyFont="1" applyFill="1" applyBorder="1" applyAlignment="1">
      <alignment vertical="center"/>
    </xf>
    <xf numFmtId="0" fontId="1" fillId="4" borderId="6" xfId="1" applyNumberFormat="1" applyFont="1" applyFill="1" applyBorder="1" applyAlignment="1">
      <alignment vertical="center"/>
    </xf>
    <xf numFmtId="0" fontId="1" fillId="4" borderId="7" xfId="1" applyNumberFormat="1" applyFont="1" applyFill="1" applyBorder="1" applyAlignment="1">
      <alignment vertical="center"/>
    </xf>
    <xf numFmtId="0" fontId="7" fillId="5" borderId="6" xfId="1" applyNumberFormat="1" applyFont="1" applyFill="1" applyBorder="1" applyAlignment="1">
      <alignment vertical="center"/>
    </xf>
    <xf numFmtId="176" fontId="7" fillId="5" borderId="6" xfId="1" applyNumberFormat="1" applyFont="1" applyFill="1" applyBorder="1" applyAlignment="1">
      <alignment vertical="center"/>
    </xf>
  </cellXfs>
  <cellStyles count="2">
    <cellStyle name="Normal" xfId="1" xr:uid="{00000000-0005-0000-0000-000000000000}"/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tabColor rgb="FF1F4E78"/>
  </sheetPr>
  <dimension ref="A2:G45"/>
  <sheetViews>
    <sheetView showGridLines="0" tabSelected="1" zoomScale="70" zoomScaleNormal="70" workbookViewId="0">
      <pane xSplit="1" ySplit="4" topLeftCell="B29" activePane="bottomRight" state="frozen"/>
      <selection pane="topRight"/>
      <selection pane="bottomLeft"/>
      <selection pane="bottomRight" activeCell="C25" sqref="C25"/>
    </sheetView>
  </sheetViews>
  <sheetFormatPr defaultRowHeight="14.25"/>
  <cols>
    <col min="1" max="1" width="24" customWidth="1"/>
    <col min="2" max="5" width="15" customWidth="1"/>
    <col min="6" max="6" width="18" customWidth="1"/>
    <col min="7" max="7" width="15" customWidth="1"/>
  </cols>
  <sheetData>
    <row r="2" spans="1:7" ht="24" customHeight="1">
      <c r="A2" s="3" t="s">
        <v>0</v>
      </c>
      <c r="B2" s="2"/>
      <c r="C2" s="2"/>
      <c r="D2" s="2"/>
      <c r="E2" s="2"/>
      <c r="F2" s="2"/>
      <c r="G2" s="2"/>
    </row>
    <row r="3" spans="1:7" ht="20.100000000000001" customHeight="1">
      <c r="A3" s="4" t="s">
        <v>1</v>
      </c>
      <c r="B3" s="1"/>
      <c r="C3" s="1"/>
      <c r="D3" s="1"/>
      <c r="E3" s="1"/>
      <c r="F3" s="1"/>
      <c r="G3" s="1"/>
    </row>
    <row r="4" spans="1:7" ht="30" customHeight="1">
      <c r="A4" s="5" t="s">
        <v>2</v>
      </c>
      <c r="B4" s="6" t="s">
        <v>3</v>
      </c>
      <c r="C4" s="6" t="s">
        <v>4</v>
      </c>
      <c r="D4" s="6" t="s">
        <v>5</v>
      </c>
      <c r="E4" s="6" t="s">
        <v>6</v>
      </c>
      <c r="F4" s="6" t="s">
        <v>7</v>
      </c>
      <c r="G4" s="7" t="s">
        <v>8</v>
      </c>
    </row>
    <row r="5" spans="1:7">
      <c r="A5" s="11" t="s">
        <v>9</v>
      </c>
      <c r="B5" s="8">
        <v>-6.5118339999999997E-2</v>
      </c>
      <c r="C5" s="8">
        <v>-9.5235589999999995E-2</v>
      </c>
      <c r="D5" s="8">
        <v>0.16202312999999999</v>
      </c>
      <c r="E5" s="8">
        <v>-5.0652049999999997E-2</v>
      </c>
      <c r="F5" s="14" t="str">
        <f t="shared" ref="F5:F45" si="0">INDEX($B$4:$E$4,1,MATCH(G5,B5:E5,0))</f>
        <v>cyy3.jpg</v>
      </c>
      <c r="G5" s="8">
        <f t="shared" ref="G5:G45" si="1">MAX(B5:E5)</f>
        <v>0.16202312999999999</v>
      </c>
    </row>
    <row r="6" spans="1:7">
      <c r="A6" s="12" t="s">
        <v>10</v>
      </c>
      <c r="B6" s="9">
        <v>-4.3342779999999997E-2</v>
      </c>
      <c r="C6" s="9">
        <v>0.10128257</v>
      </c>
      <c r="D6" s="9">
        <v>0.29593830999999998</v>
      </c>
      <c r="E6" s="9">
        <v>0.1081857</v>
      </c>
      <c r="F6" s="15" t="str">
        <f t="shared" si="0"/>
        <v>cyy3.jpg</v>
      </c>
      <c r="G6" s="9">
        <f t="shared" si="1"/>
        <v>0.29593830999999998</v>
      </c>
    </row>
    <row r="7" spans="1:7">
      <c r="A7" s="12" t="s">
        <v>11</v>
      </c>
      <c r="B7" s="9">
        <v>-1.386751E-2</v>
      </c>
      <c r="C7" s="9">
        <v>1.210132E-2</v>
      </c>
      <c r="D7" s="9">
        <v>0.36058199000000002</v>
      </c>
      <c r="E7" s="9">
        <v>8.6561999999999993E-3</v>
      </c>
      <c r="F7" s="15" t="str">
        <f t="shared" si="0"/>
        <v>cyy3.jpg</v>
      </c>
      <c r="G7" s="9">
        <f t="shared" si="1"/>
        <v>0.36058199000000002</v>
      </c>
    </row>
    <row r="8" spans="1:7">
      <c r="A8" s="12" t="s">
        <v>12</v>
      </c>
      <c r="B8" s="9">
        <v>-2.730051E-2</v>
      </c>
      <c r="C8" s="9">
        <v>1.1281950000000001E-2</v>
      </c>
      <c r="D8" s="9">
        <v>0.18136347999999999</v>
      </c>
      <c r="E8" s="9">
        <v>0.11739860000000001</v>
      </c>
      <c r="F8" s="15" t="str">
        <f t="shared" si="0"/>
        <v>cyy3.jpg</v>
      </c>
      <c r="G8" s="9">
        <f t="shared" si="1"/>
        <v>0.18136347999999999</v>
      </c>
    </row>
    <row r="9" spans="1:7">
      <c r="A9" s="12" t="s">
        <v>13</v>
      </c>
      <c r="B9" s="9">
        <v>-1.636949E-2</v>
      </c>
      <c r="C9" s="9">
        <v>9.8542770000000002E-2</v>
      </c>
      <c r="D9" s="9">
        <v>0.27488029000000003</v>
      </c>
      <c r="E9" s="9">
        <v>2.8274629999999999E-2</v>
      </c>
      <c r="F9" s="15" t="str">
        <f t="shared" si="0"/>
        <v>cyy3.jpg</v>
      </c>
      <c r="G9" s="9">
        <f t="shared" si="1"/>
        <v>0.27488029000000003</v>
      </c>
    </row>
    <row r="10" spans="1:7">
      <c r="A10" s="12" t="s">
        <v>14</v>
      </c>
      <c r="B10" s="9">
        <v>-4.1003209999999998E-2</v>
      </c>
      <c r="C10" s="9">
        <v>2.2236059999999998E-2</v>
      </c>
      <c r="D10" s="9">
        <v>0.30495811</v>
      </c>
      <c r="E10" s="9">
        <v>0.13475810999999999</v>
      </c>
      <c r="F10" s="15" t="str">
        <f t="shared" si="0"/>
        <v>cyy3.jpg</v>
      </c>
      <c r="G10" s="9">
        <f t="shared" si="1"/>
        <v>0.30495811</v>
      </c>
    </row>
    <row r="11" spans="1:7">
      <c r="A11" s="12" t="s">
        <v>15</v>
      </c>
      <c r="B11" s="9">
        <v>-5.8620720000000001E-2</v>
      </c>
      <c r="C11" s="9">
        <v>2.3649659999999999E-2</v>
      </c>
      <c r="D11" s="9">
        <v>0.16385189999999999</v>
      </c>
      <c r="E11" s="9">
        <v>9.3428549999999999E-2</v>
      </c>
      <c r="F11" s="15" t="str">
        <f t="shared" si="0"/>
        <v>cyy3.jpg</v>
      </c>
      <c r="G11" s="9">
        <f t="shared" si="1"/>
        <v>0.16385189999999999</v>
      </c>
    </row>
    <row r="12" spans="1:7">
      <c r="A12" s="12" t="s">
        <v>16</v>
      </c>
      <c r="B12" s="9">
        <v>2.4685329999999998E-2</v>
      </c>
      <c r="C12" s="9">
        <v>8.0139409999999994E-2</v>
      </c>
      <c r="D12" s="9">
        <v>0.39212744999999999</v>
      </c>
      <c r="E12" s="9">
        <v>9.9785700000000005E-2</v>
      </c>
      <c r="F12" s="15" t="str">
        <f t="shared" si="0"/>
        <v>cyy3.jpg</v>
      </c>
      <c r="G12" s="9">
        <f t="shared" si="1"/>
        <v>0.39212744999999999</v>
      </c>
    </row>
    <row r="13" spans="1:7">
      <c r="A13" s="12" t="s">
        <v>17</v>
      </c>
      <c r="B13" s="9">
        <v>-1.5269629999999999E-2</v>
      </c>
      <c r="C13" s="9">
        <v>1.5521109999999999E-2</v>
      </c>
      <c r="D13" s="9">
        <v>0.31087105999999998</v>
      </c>
      <c r="E13" s="9">
        <v>0.11073681</v>
      </c>
      <c r="F13" s="15" t="str">
        <f t="shared" si="0"/>
        <v>cyy3.jpg</v>
      </c>
      <c r="G13" s="9">
        <f t="shared" si="1"/>
        <v>0.31087105999999998</v>
      </c>
    </row>
    <row r="14" spans="1:7">
      <c r="A14" s="12" t="s">
        <v>18</v>
      </c>
      <c r="B14" s="9">
        <v>0.15700401</v>
      </c>
      <c r="C14" s="9">
        <v>0.13570550000000001</v>
      </c>
      <c r="D14" s="9">
        <v>2.539491E-2</v>
      </c>
      <c r="E14" s="9">
        <v>2.5526259999999999E-2</v>
      </c>
      <c r="F14" s="15" t="str">
        <f t="shared" si="0"/>
        <v>cyy1.jpg</v>
      </c>
      <c r="G14" s="9">
        <f t="shared" si="1"/>
        <v>0.15700401</v>
      </c>
    </row>
    <row r="15" spans="1:7">
      <c r="A15" s="12" t="s">
        <v>19</v>
      </c>
      <c r="B15" s="9">
        <v>0.10995407</v>
      </c>
      <c r="C15" s="9">
        <v>9.1486799999999993E-2</v>
      </c>
      <c r="D15" s="9">
        <v>1.3423249999999999E-2</v>
      </c>
      <c r="E15" s="9">
        <v>4.1795560000000002E-2</v>
      </c>
      <c r="F15" s="15" t="str">
        <f t="shared" si="0"/>
        <v>cyy1.jpg</v>
      </c>
      <c r="G15" s="9">
        <f t="shared" si="1"/>
        <v>0.10995407</v>
      </c>
    </row>
    <row r="16" spans="1:7">
      <c r="A16" s="12" t="s">
        <v>20</v>
      </c>
      <c r="B16" s="9">
        <v>0.23471085999999999</v>
      </c>
      <c r="C16" s="9">
        <v>3.7406490000000001E-2</v>
      </c>
      <c r="D16" s="9">
        <v>-6.5523070000000003E-2</v>
      </c>
      <c r="E16" s="9">
        <v>9.0182300000000003E-3</v>
      </c>
      <c r="F16" s="15" t="str">
        <f t="shared" si="0"/>
        <v>cyy1.jpg</v>
      </c>
      <c r="G16" s="9">
        <f t="shared" si="1"/>
        <v>0.23471085999999999</v>
      </c>
    </row>
    <row r="17" spans="1:7">
      <c r="A17" s="12" t="s">
        <v>21</v>
      </c>
      <c r="B17" s="9">
        <v>0.28345453999999998</v>
      </c>
      <c r="C17" s="9">
        <v>0.11966409</v>
      </c>
      <c r="D17" s="9">
        <v>1.3479970000000001E-2</v>
      </c>
      <c r="E17" s="9">
        <v>-6.1884250000000002E-2</v>
      </c>
      <c r="F17" s="15" t="str">
        <f t="shared" si="0"/>
        <v>cyy1.jpg</v>
      </c>
      <c r="G17" s="9">
        <f t="shared" si="1"/>
        <v>0.28345453999999998</v>
      </c>
    </row>
    <row r="18" spans="1:7">
      <c r="A18" s="12" t="s">
        <v>22</v>
      </c>
      <c r="B18" s="9">
        <v>0.17528616</v>
      </c>
      <c r="C18" s="9">
        <v>3.8937399999999997E-2</v>
      </c>
      <c r="D18" s="9">
        <v>-6.5914050000000002E-2</v>
      </c>
      <c r="E18" s="9">
        <v>-9.2360689999999995E-2</v>
      </c>
      <c r="F18" s="15" t="str">
        <f t="shared" si="0"/>
        <v>cyy1.jpg</v>
      </c>
      <c r="G18" s="9">
        <f t="shared" si="1"/>
        <v>0.17528616</v>
      </c>
    </row>
    <row r="19" spans="1:7">
      <c r="A19" s="12" t="s">
        <v>23</v>
      </c>
      <c r="B19" s="9">
        <v>0.22192403999999999</v>
      </c>
      <c r="C19" s="9">
        <v>-2.064676E-2</v>
      </c>
      <c r="D19" s="9">
        <v>1.0270329999999999E-2</v>
      </c>
      <c r="E19" s="9">
        <v>-1.229689E-2</v>
      </c>
      <c r="F19" s="15" t="str">
        <f t="shared" si="0"/>
        <v>cyy1.jpg</v>
      </c>
      <c r="G19" s="9">
        <f t="shared" si="1"/>
        <v>0.22192403999999999</v>
      </c>
    </row>
    <row r="20" spans="1:7">
      <c r="A20" s="12" t="s">
        <v>24</v>
      </c>
      <c r="B20" s="9">
        <v>2.8726100000000001E-2</v>
      </c>
      <c r="C20" s="9">
        <v>4.2308209999999999E-2</v>
      </c>
      <c r="D20" s="9">
        <v>1.15522E-3</v>
      </c>
      <c r="E20" s="9">
        <v>0.25838118999999998</v>
      </c>
      <c r="F20" s="15" t="str">
        <f t="shared" si="0"/>
        <v>cyy4.jpg</v>
      </c>
      <c r="G20" s="9">
        <f t="shared" si="1"/>
        <v>0.25838118999999998</v>
      </c>
    </row>
    <row r="21" spans="1:7">
      <c r="A21" s="12" t="s">
        <v>25</v>
      </c>
      <c r="B21" s="9">
        <v>0.10580188</v>
      </c>
      <c r="C21" s="9">
        <v>8.9055490000000001E-2</v>
      </c>
      <c r="D21" s="9">
        <v>4.3163899999999998E-3</v>
      </c>
      <c r="E21" s="9">
        <v>0.10891521</v>
      </c>
      <c r="F21" s="15" t="str">
        <f t="shared" si="0"/>
        <v>cyy4.jpg</v>
      </c>
      <c r="G21" s="9">
        <f t="shared" si="1"/>
        <v>0.10891521</v>
      </c>
    </row>
    <row r="22" spans="1:7">
      <c r="A22" s="12" t="s">
        <v>26</v>
      </c>
      <c r="B22" s="9">
        <v>-7.3186319999999999E-2</v>
      </c>
      <c r="C22" s="9">
        <v>8.2384719999999995E-2</v>
      </c>
      <c r="D22" s="9">
        <v>-1.979972E-2</v>
      </c>
      <c r="E22" s="9">
        <v>0.17385311000000001</v>
      </c>
      <c r="F22" s="15" t="str">
        <f t="shared" si="0"/>
        <v>cyy4.jpg</v>
      </c>
      <c r="G22" s="9">
        <f t="shared" si="1"/>
        <v>0.17385311000000001</v>
      </c>
    </row>
    <row r="23" spans="1:7">
      <c r="A23" s="12" t="s">
        <v>27</v>
      </c>
      <c r="B23" s="9">
        <v>-4.5631449999999997E-2</v>
      </c>
      <c r="C23" s="9">
        <v>9.6938999999999997E-2</v>
      </c>
      <c r="D23" s="9">
        <v>-4.3995449999999998E-2</v>
      </c>
      <c r="E23" s="9">
        <v>0.24527544000000001</v>
      </c>
      <c r="F23" s="15" t="str">
        <f t="shared" si="0"/>
        <v>cyy4.jpg</v>
      </c>
      <c r="G23" s="9">
        <f t="shared" si="1"/>
        <v>0.24527544000000001</v>
      </c>
    </row>
    <row r="24" spans="1:7">
      <c r="A24" s="12" t="s">
        <v>28</v>
      </c>
      <c r="B24" s="9">
        <v>-6.8024950000000001E-2</v>
      </c>
      <c r="C24" s="9">
        <v>0.10645075</v>
      </c>
      <c r="D24" s="9">
        <v>8.7075840000000002E-2</v>
      </c>
      <c r="E24" s="9">
        <v>0.24026971999999999</v>
      </c>
      <c r="F24" s="15" t="str">
        <f t="shared" si="0"/>
        <v>cyy4.jpg</v>
      </c>
      <c r="G24" s="9">
        <f t="shared" si="1"/>
        <v>0.24026971999999999</v>
      </c>
    </row>
    <row r="25" spans="1:7">
      <c r="A25" s="12" t="s">
        <v>29</v>
      </c>
      <c r="B25" s="9">
        <v>6.097495E-2</v>
      </c>
      <c r="C25" s="9">
        <v>0.12902258</v>
      </c>
      <c r="D25" s="9">
        <v>-4.1610649999999999E-2</v>
      </c>
      <c r="E25" s="9">
        <v>7.5170550000000003E-2</v>
      </c>
      <c r="F25" s="15" t="str">
        <f t="shared" si="0"/>
        <v>cyy2.jpg</v>
      </c>
      <c r="G25" s="9">
        <f t="shared" si="1"/>
        <v>0.12902258</v>
      </c>
    </row>
    <row r="26" spans="1:7">
      <c r="A26" s="12" t="s">
        <v>30</v>
      </c>
      <c r="B26" s="9">
        <v>1.1401680000000001E-2</v>
      </c>
      <c r="C26" s="9">
        <v>0.18721326999999999</v>
      </c>
      <c r="D26" s="9">
        <v>-2.530522E-2</v>
      </c>
      <c r="E26" s="9">
        <v>4.7774039999999997E-2</v>
      </c>
      <c r="F26" s="15" t="str">
        <f t="shared" si="0"/>
        <v>cyy2.jpg</v>
      </c>
      <c r="G26" s="9">
        <f t="shared" si="1"/>
        <v>0.18721326999999999</v>
      </c>
    </row>
    <row r="27" spans="1:7">
      <c r="A27" s="12" t="s">
        <v>31</v>
      </c>
      <c r="B27" s="9">
        <v>-2.6318899999999999E-2</v>
      </c>
      <c r="C27" s="9">
        <v>0.27675643999999999</v>
      </c>
      <c r="D27" s="9">
        <v>3.3425000000000002E-4</v>
      </c>
      <c r="E27" s="9">
        <v>-4.4326599999999997E-3</v>
      </c>
      <c r="F27" s="15" t="str">
        <f t="shared" si="0"/>
        <v>cyy2.jpg</v>
      </c>
      <c r="G27" s="9">
        <f t="shared" si="1"/>
        <v>0.27675643999999999</v>
      </c>
    </row>
    <row r="28" spans="1:7">
      <c r="A28" s="12" t="s">
        <v>32</v>
      </c>
      <c r="B28" s="9">
        <v>-2.3774719999999999E-2</v>
      </c>
      <c r="C28" s="9">
        <v>0.11847824999999999</v>
      </c>
      <c r="D28" s="9">
        <v>-0.10579856</v>
      </c>
      <c r="E28" s="9">
        <v>0.10982939999999999</v>
      </c>
      <c r="F28" s="15" t="str">
        <f t="shared" si="0"/>
        <v>cyy2.jpg</v>
      </c>
      <c r="G28" s="9">
        <f t="shared" si="1"/>
        <v>0.11847824999999999</v>
      </c>
    </row>
    <row r="29" spans="1:7">
      <c r="A29" s="12" t="s">
        <v>33</v>
      </c>
      <c r="B29" s="9">
        <v>6.8886599999999996E-3</v>
      </c>
      <c r="C29" s="9">
        <v>0.10810599999999999</v>
      </c>
      <c r="D29" s="9">
        <v>-2.412599E-2</v>
      </c>
      <c r="E29" s="9">
        <v>4.2604009999999998E-2</v>
      </c>
      <c r="F29" s="15" t="str">
        <f t="shared" si="0"/>
        <v>cyy2.jpg</v>
      </c>
      <c r="G29" s="9">
        <f t="shared" si="1"/>
        <v>0.10810599999999999</v>
      </c>
    </row>
    <row r="30" spans="1:7">
      <c r="A30" s="17" t="s">
        <v>34</v>
      </c>
      <c r="B30" s="18">
        <v>-5.5840689999999998E-2</v>
      </c>
      <c r="C30" s="18">
        <v>9.3369949999999993E-2</v>
      </c>
      <c r="D30" s="18">
        <v>-4.9168650000000001E-2</v>
      </c>
      <c r="E30" s="18">
        <v>1.981753E-2</v>
      </c>
      <c r="F30" s="17" t="str">
        <f t="shared" si="0"/>
        <v>cyy2.jpg</v>
      </c>
      <c r="G30" s="18">
        <f t="shared" si="1"/>
        <v>9.3369949999999993E-2</v>
      </c>
    </row>
    <row r="31" spans="1:7">
      <c r="A31" s="17" t="s">
        <v>35</v>
      </c>
      <c r="B31" s="18">
        <v>-8.2412230000000003E-2</v>
      </c>
      <c r="C31" s="18">
        <v>8.4940039999999994E-2</v>
      </c>
      <c r="D31" s="18">
        <v>-6.3795859999999996E-2</v>
      </c>
      <c r="E31" s="18">
        <v>4.8148919999999998E-2</v>
      </c>
      <c r="F31" s="17" t="str">
        <f t="shared" si="0"/>
        <v>cyy2.jpg</v>
      </c>
      <c r="G31" s="18">
        <f t="shared" si="1"/>
        <v>8.4940039999999994E-2</v>
      </c>
    </row>
    <row r="32" spans="1:7">
      <c r="A32" s="17" t="s">
        <v>36</v>
      </c>
      <c r="B32" s="18">
        <v>2.1749810000000001E-2</v>
      </c>
      <c r="C32" s="18">
        <v>-5.4558899999999997E-3</v>
      </c>
      <c r="D32" s="18">
        <v>-4.8898919999999998E-2</v>
      </c>
      <c r="E32" s="18">
        <v>1.138172E-2</v>
      </c>
      <c r="F32" s="17" t="str">
        <f t="shared" si="0"/>
        <v>cyy1.jpg</v>
      </c>
      <c r="G32" s="18">
        <f t="shared" si="1"/>
        <v>2.1749810000000001E-2</v>
      </c>
    </row>
    <row r="33" spans="1:7">
      <c r="A33" s="17" t="s">
        <v>37</v>
      </c>
      <c r="B33" s="18">
        <v>-8.8322639999999994E-2</v>
      </c>
      <c r="C33" s="18">
        <v>0.10111995999999999</v>
      </c>
      <c r="D33" s="18">
        <v>-3.9637690000000003E-2</v>
      </c>
      <c r="E33" s="18">
        <v>2.6194080000000002E-2</v>
      </c>
      <c r="F33" s="17" t="str">
        <f t="shared" si="0"/>
        <v>cyy2.jpg</v>
      </c>
      <c r="G33" s="18">
        <f t="shared" si="1"/>
        <v>0.10111995999999999</v>
      </c>
    </row>
    <row r="34" spans="1:7">
      <c r="A34" s="17" t="s">
        <v>38</v>
      </c>
      <c r="B34" s="18">
        <v>-6.1061369999999997E-2</v>
      </c>
      <c r="C34" s="18">
        <v>4.0993380000000003E-2</v>
      </c>
      <c r="D34" s="18">
        <v>-3.2359060000000002E-2</v>
      </c>
      <c r="E34" s="18">
        <v>-4.2992500000000003E-2</v>
      </c>
      <c r="F34" s="17" t="str">
        <f t="shared" si="0"/>
        <v>cyy2.jpg</v>
      </c>
      <c r="G34" s="18">
        <f t="shared" si="1"/>
        <v>4.0993380000000003E-2</v>
      </c>
    </row>
    <row r="35" spans="1:7">
      <c r="A35" s="17" t="s">
        <v>39</v>
      </c>
      <c r="B35" s="18">
        <v>-0.10595639</v>
      </c>
      <c r="C35" s="18">
        <v>9.8988560000000003E-2</v>
      </c>
      <c r="D35" s="18">
        <v>-8.7673710000000002E-2</v>
      </c>
      <c r="E35" s="18">
        <v>9.3894019999999995E-2</v>
      </c>
      <c r="F35" s="17" t="str">
        <f t="shared" si="0"/>
        <v>cyy2.jpg</v>
      </c>
      <c r="G35" s="18">
        <f t="shared" si="1"/>
        <v>9.8988560000000003E-2</v>
      </c>
    </row>
    <row r="36" spans="1:7">
      <c r="A36" s="17" t="s">
        <v>40</v>
      </c>
      <c r="B36" s="18">
        <v>1.120646E-2</v>
      </c>
      <c r="C36" s="18">
        <v>2.4349840000000001E-2</v>
      </c>
      <c r="D36" s="18">
        <v>2.0999250000000001E-2</v>
      </c>
      <c r="E36" s="18">
        <v>-2.7888240000000002E-2</v>
      </c>
      <c r="F36" s="17" t="str">
        <f t="shared" si="0"/>
        <v>cyy2.jpg</v>
      </c>
      <c r="G36" s="18">
        <f t="shared" si="1"/>
        <v>2.4349840000000001E-2</v>
      </c>
    </row>
    <row r="37" spans="1:7">
      <c r="A37" s="17" t="s">
        <v>41</v>
      </c>
      <c r="B37" s="18">
        <v>-9.8545980000000005E-2</v>
      </c>
      <c r="C37" s="18">
        <v>0.13235047</v>
      </c>
      <c r="D37" s="18">
        <v>-2.720179E-2</v>
      </c>
      <c r="E37" s="18">
        <v>2.6704579999999999E-2</v>
      </c>
      <c r="F37" s="17" t="str">
        <f t="shared" si="0"/>
        <v>cyy2.jpg</v>
      </c>
      <c r="G37" s="18">
        <f t="shared" si="1"/>
        <v>0.13235047</v>
      </c>
    </row>
    <row r="38" spans="1:7">
      <c r="A38" s="17" t="s">
        <v>42</v>
      </c>
      <c r="B38" s="18">
        <v>-0.13881173999999999</v>
      </c>
      <c r="C38" s="18">
        <v>4.6580610000000001E-2</v>
      </c>
      <c r="D38" s="18">
        <v>-7.1910509999999997E-2</v>
      </c>
      <c r="E38" s="18">
        <v>0.13685033999999999</v>
      </c>
      <c r="F38" s="17" t="str">
        <f t="shared" si="0"/>
        <v>cyy4.jpg</v>
      </c>
      <c r="G38" s="18">
        <f t="shared" si="1"/>
        <v>0.13685033999999999</v>
      </c>
    </row>
    <row r="39" spans="1:7">
      <c r="A39" s="12" t="s">
        <v>43</v>
      </c>
      <c r="B39" s="9">
        <v>6.8140039999999999E-2</v>
      </c>
      <c r="C39" s="9">
        <v>5.0928189999999998E-2</v>
      </c>
      <c r="D39" s="9">
        <v>0.60732399999999997</v>
      </c>
      <c r="E39" s="9">
        <v>0.10547677</v>
      </c>
      <c r="F39" s="15" t="str">
        <f t="shared" si="0"/>
        <v>cyy3.jpg</v>
      </c>
      <c r="G39" s="9">
        <f t="shared" si="1"/>
        <v>0.60732399999999997</v>
      </c>
    </row>
    <row r="40" spans="1:7">
      <c r="A40" s="12" t="s">
        <v>44</v>
      </c>
      <c r="B40" s="9">
        <v>9.4243380000000002E-2</v>
      </c>
      <c r="C40" s="9">
        <v>3.9541439999999997E-2</v>
      </c>
      <c r="D40" s="9">
        <v>0.50700164000000003</v>
      </c>
      <c r="E40" s="9">
        <v>6.4704670000000006E-2</v>
      </c>
      <c r="F40" s="15" t="str">
        <f t="shared" si="0"/>
        <v>cyy3.jpg</v>
      </c>
      <c r="G40" s="9">
        <f t="shared" si="1"/>
        <v>0.50700164000000003</v>
      </c>
    </row>
    <row r="41" spans="1:7">
      <c r="A41" s="12" t="s">
        <v>45</v>
      </c>
      <c r="B41" s="9">
        <v>-7.3897270000000001E-2</v>
      </c>
      <c r="C41" s="9">
        <v>4.7990449999999997E-2</v>
      </c>
      <c r="D41" s="9">
        <v>0.38252169000000003</v>
      </c>
      <c r="E41" s="9">
        <v>-5.4113099999999997E-2</v>
      </c>
      <c r="F41" s="15" t="str">
        <f t="shared" si="0"/>
        <v>cyy3.jpg</v>
      </c>
      <c r="G41" s="9">
        <f t="shared" si="1"/>
        <v>0.38252169000000003</v>
      </c>
    </row>
    <row r="42" spans="1:7">
      <c r="A42" s="12" t="s">
        <v>46</v>
      </c>
      <c r="B42" s="9">
        <v>-2.051774E-2</v>
      </c>
      <c r="C42" s="9">
        <v>6.714705E-2</v>
      </c>
      <c r="D42" s="9">
        <v>0.36243486000000003</v>
      </c>
      <c r="E42" s="9">
        <v>-3.02224E-2</v>
      </c>
      <c r="F42" s="15" t="str">
        <f t="shared" si="0"/>
        <v>cyy3.jpg</v>
      </c>
      <c r="G42" s="9">
        <f t="shared" si="1"/>
        <v>0.36243486000000003</v>
      </c>
    </row>
    <row r="43" spans="1:7">
      <c r="A43" s="12" t="s">
        <v>47</v>
      </c>
      <c r="B43" s="9">
        <v>3.7202770000000003E-2</v>
      </c>
      <c r="C43" s="9">
        <v>4.074726E-2</v>
      </c>
      <c r="D43" s="9">
        <v>0.47058558</v>
      </c>
      <c r="E43" s="9">
        <v>-5.1404480000000002E-2</v>
      </c>
      <c r="F43" s="15" t="str">
        <f t="shared" si="0"/>
        <v>cyy3.jpg</v>
      </c>
      <c r="G43" s="9">
        <f t="shared" si="1"/>
        <v>0.47058558</v>
      </c>
    </row>
    <row r="44" spans="1:7">
      <c r="A44" s="12" t="s">
        <v>48</v>
      </c>
      <c r="B44" s="9">
        <v>5.625467E-2</v>
      </c>
      <c r="C44" s="9">
        <v>2.79692E-2</v>
      </c>
      <c r="D44" s="9">
        <v>0.42176151000000001</v>
      </c>
      <c r="E44" s="9">
        <v>8.2266820000000004E-2</v>
      </c>
      <c r="F44" s="15" t="str">
        <f t="shared" si="0"/>
        <v>cyy3.jpg</v>
      </c>
      <c r="G44" s="9">
        <f t="shared" si="1"/>
        <v>0.42176151000000001</v>
      </c>
    </row>
    <row r="45" spans="1:7">
      <c r="A45" s="13" t="s">
        <v>49</v>
      </c>
      <c r="B45" s="10">
        <v>-3.4842900000000003E-2</v>
      </c>
      <c r="C45" s="10">
        <v>0.10057538000000001</v>
      </c>
      <c r="D45" s="10">
        <v>9.2008720000000002E-2</v>
      </c>
      <c r="E45" s="10">
        <v>0.13947676000000001</v>
      </c>
      <c r="F45" s="16" t="str">
        <f t="shared" si="0"/>
        <v>cyy4.jpg</v>
      </c>
      <c r="G45" s="10">
        <f t="shared" si="1"/>
        <v>0.13947676000000001</v>
      </c>
    </row>
  </sheetData>
  <phoneticPr fontId="6" type="noConversion"/>
  <conditionalFormatting sqref="B5:E45">
    <cfRule type="colorScale" priority="1">
      <colorScale>
        <cfvo type="min"/>
        <cfvo type="percentile" val="50"/>
        <cfvo type="max"/>
        <color rgb="FFFCA5A5"/>
        <color rgb="FFFEF3C7"/>
        <color rgb="FF86EFAC"/>
      </colorScale>
    </cfRule>
  </conditionalFormatting>
  <conditionalFormatting sqref="G5:G45">
    <cfRule type="colorScale" priority="2">
      <colorScale>
        <cfvo type="min"/>
        <cfvo type="percentile" val="50"/>
        <cfvo type="max"/>
        <color rgb="FFFCA5A5"/>
        <color rgb="FFFEF3C7"/>
        <color rgb="FF86EFAC"/>
      </colorScale>
    </cfRule>
  </conditionalFormatting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Similarity Matrix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Administrator</cp:lastModifiedBy>
  <dcterms:modified xsi:type="dcterms:W3CDTF">2026-09-21T08:30:49Z</dcterms:modified>
</cp:coreProperties>
</file>